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mo_Generative AI-Based Test Case Creation\"/>
    </mc:Choice>
  </mc:AlternateContent>
  <xr:revisionPtr revIDLastSave="0" documentId="13_ncr:1_{88406C79-9102-44BA-AD89-8F05C217A45F}" xr6:coauthVersionLast="47" xr6:coauthVersionMax="47" xr10:uidLastSave="{00000000-0000-0000-0000-000000000000}"/>
  <bookViews>
    <workbookView xWindow="-110" yWindow="-110" windowWidth="19420" windowHeight="10420" xr2:uid="{3BB7BFB6-4D16-43AB-9A8A-7D703A8A58C6}"/>
  </bookViews>
  <sheets>
    <sheet name="Login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N4" i="1"/>
  <c r="M4" i="1"/>
  <c r="L4" i="1"/>
  <c r="K4" i="1"/>
  <c r="J4" i="1"/>
</calcChain>
</file>

<file path=xl/sharedStrings.xml><?xml version="1.0" encoding="utf-8"?>
<sst xmlns="http://schemas.openxmlformats.org/spreadsheetml/2006/main" count="484" uniqueCount="282">
  <si>
    <t>FACEBOOK LOGIN — FUNCTIONAL TEST CASES</t>
  </si>
  <si>
    <t>Project Name</t>
  </si>
  <si>
    <t>Facebook</t>
  </si>
  <si>
    <t>Module Name</t>
  </si>
  <si>
    <t>Login</t>
  </si>
  <si>
    <t>Created By</t>
  </si>
  <si>
    <t>Yogesh Diwakar</t>
  </si>
  <si>
    <t>Creation Date</t>
  </si>
  <si>
    <t>Reviewed By</t>
  </si>
  <si>
    <t>Pending assignment</t>
  </si>
  <si>
    <t>Review Date</t>
  </si>
  <si>
    <t>Pending review</t>
  </si>
  <si>
    <t>EXECUTION SUMMARY</t>
  </si>
  <si>
    <t>Total Cases</t>
  </si>
  <si>
    <t>Positive</t>
  </si>
  <si>
    <t>Negative</t>
  </si>
  <si>
    <t>Not Run</t>
  </si>
  <si>
    <t>Passed</t>
  </si>
  <si>
    <t>Failed</t>
  </si>
  <si>
    <t>Test Scenario</t>
  </si>
  <si>
    <t>Test Case ID</t>
  </si>
  <si>
    <t>Description</t>
  </si>
  <si>
    <t>Test Steps</t>
  </si>
  <si>
    <t>Preconditions</t>
  </si>
  <si>
    <t>Test Data</t>
  </si>
  <si>
    <t>Postconditions</t>
  </si>
  <si>
    <t>Expected Result</t>
  </si>
  <si>
    <t>Actual Result</t>
  </si>
  <si>
    <t>Status</t>
  </si>
  <si>
    <t>Executed By</t>
  </si>
  <si>
    <t>Execution Date</t>
  </si>
  <si>
    <t>Priority</t>
  </si>
  <si>
    <t>Type</t>
  </si>
  <si>
    <t>Additional Comments</t>
  </si>
  <si>
    <t>Successful login with email</t>
  </si>
  <si>
    <t>FB-LGN-001</t>
  </si>
  <si>
    <t>Verify login using a registered email and correct password.</t>
  </si>
  <si>
    <t>1. Open Facebook login page
2. Enter registered email
3. Enter correct password
4. Select Log In</t>
  </si>
  <si>
    <t>Active Facebook account; user is logged out; internet available</t>
  </si>
  <si>
    <t>Email: qa.valid@example.com
Password: ValidPass#2026</t>
  </si>
  <si>
    <t>Authenticated session is created; Home page is displayed</t>
  </si>
  <si>
    <t>Login succeeds; user lands on the authenticated Home page with the correct account and no error message.</t>
  </si>
  <si>
    <t>Not executed</t>
  </si>
  <si>
    <t>Unassigned</t>
  </si>
  <si>
    <t>—</t>
  </si>
  <si>
    <t>Critical</t>
  </si>
  <si>
    <t>Use a dedicated non-production test account.</t>
  </si>
  <si>
    <t>Successful login with phone number</t>
  </si>
  <si>
    <t>FB-LGN-002</t>
  </si>
  <si>
    <t>Verify login using a registered mobile number and correct password.</t>
  </si>
  <si>
    <t>1. Open login page
2. Enter registered phone number with country code
3. Enter correct password
4. Select Log In</t>
  </si>
  <si>
    <t>Active account linked to the phone number; user logged out</t>
  </si>
  <si>
    <t>Phone: +1 202-555-0147
Password: ValidPass#2026</t>
  </si>
  <si>
    <t>Authenticated session is created</t>
  </si>
  <si>
    <t>Login succeeds and the correct account Home page is shown.</t>
  </si>
  <si>
    <t>High</t>
  </si>
  <si>
    <t>Use a test number that is already verified.</t>
  </si>
  <si>
    <t>Submit login with Enter key</t>
  </si>
  <si>
    <t>FB-LGN-003</t>
  </si>
  <si>
    <t>Verify pressing Enter submits valid login credentials.</t>
  </si>
  <si>
    <t>1. Open login page
2. Enter valid email and password
3. Press Enter while focus is in password field</t>
  </si>
  <si>
    <t>Active test account; user logged out</t>
  </si>
  <si>
    <t>qa.valid@example.com / ValidPass#2026</t>
  </si>
  <si>
    <t>Form submits once and login succeeds without requiring a mouse click.</t>
  </si>
  <si>
    <t>Confirms keyboard-friendly submission.</t>
  </si>
  <si>
    <t>Invalid email and valid password</t>
  </si>
  <si>
    <t>FB-LGN-004</t>
  </si>
  <si>
    <t>Verify the system rejects an unregistered email with an otherwise valid-format password.</t>
  </si>
  <si>
    <t>1. Open login page
2. Enter unregistered email
3. Enter valid-format password
4. Select Log In</t>
  </si>
  <si>
    <t>User logged out</t>
  </si>
  <si>
    <t>unknown.user@example.com / ValidPass#2026</t>
  </si>
  <si>
    <t>No authenticated session is created</t>
  </si>
  <si>
    <t>Login is denied; a clear, non-sensitive error is displayed and the password is not exposed.</t>
  </si>
  <si>
    <t>Message must not reveal whether the account exists.</t>
  </si>
  <si>
    <t>Valid email and incorrect password</t>
  </si>
  <si>
    <t>FB-LGN-005</t>
  </si>
  <si>
    <t>Verify login fails when the password is incorrect.</t>
  </si>
  <si>
    <t>1. Open login page
2. Enter registered email
3. Enter incorrect password
4. Select Log In</t>
  </si>
  <si>
    <t>qa.valid@example.com / WrongPass#2026</t>
  </si>
  <si>
    <t>Login is denied with a clear error and a recovery path; account data remains protected.</t>
  </si>
  <si>
    <t>Check that the failed attempt is recorded server-side if auditing is enabled.</t>
  </si>
  <si>
    <t>Invalid email and incorrect password</t>
  </si>
  <si>
    <t>FB-LGN-006</t>
  </si>
  <si>
    <t>Verify login fails when both credentials are invalid.</t>
  </si>
  <si>
    <t>1. Open login page
2. Enter unregistered email
3. Enter incorrect password
4. Select Log In</t>
  </si>
  <si>
    <t>nobody@example.com / WrongPass#2026</t>
  </si>
  <si>
    <t>Login is denied and a generic credential error is shown without account enumeration.</t>
  </si>
  <si>
    <t>Error wording should remain consistent with other invalid-credential cases.</t>
  </si>
  <si>
    <t>Blank email and blank password</t>
  </si>
  <si>
    <t>FB-LGN-007</t>
  </si>
  <si>
    <t>Verify mandatory-field validation when both fields are empty.</t>
  </si>
  <si>
    <t>1. Open login page
2. Leave both fields blank
3. Select Log In</t>
  </si>
  <si>
    <t>Email: blank
Password: blank</t>
  </si>
  <si>
    <t>Required-field validation is shown; the form is not authenticated and focus moves to the first invalid field.</t>
  </si>
  <si>
    <t>Validate visible and screen-reader-accessible error association.</t>
  </si>
  <si>
    <t>Blank email only</t>
  </si>
  <si>
    <t>FB-LGN-008</t>
  </si>
  <si>
    <t>Verify validation when the identifier field is empty.</t>
  </si>
  <si>
    <t>1. Open login page
2. Leave email/phone blank
3. Enter a password
4. Select Log In</t>
  </si>
  <si>
    <t>Email/phone: blank
Password: ValidPass#2026</t>
  </si>
  <si>
    <t>Identifier validation is displayed and login does not proceed.</t>
  </si>
  <si>
    <t>Password should remain masked.</t>
  </si>
  <si>
    <t>Blank password only</t>
  </si>
  <si>
    <t>FB-LGN-009</t>
  </si>
  <si>
    <t>Verify validation when the password field is empty.</t>
  </si>
  <si>
    <t>1. Open login page
2. Enter registered email
3. Leave password blank
4. Select Log In</t>
  </si>
  <si>
    <t>qa.valid@example.com / blank</t>
  </si>
  <si>
    <t>Password-required validation is displayed and login does not proceed.</t>
  </si>
  <si>
    <t>Focus should move to the password field.</t>
  </si>
  <si>
    <t>Malformed email address</t>
  </si>
  <si>
    <t>FB-LGN-010</t>
  </si>
  <si>
    <t>Verify handling of an incorrectly formatted email address.</t>
  </si>
  <si>
    <t>1. Open login page
2. Enter malformed email
3. Enter any password
4. Select Log In</t>
  </si>
  <si>
    <t>qa.valid@ / AnyPass#1</t>
  </si>
  <si>
    <t>Input is rejected or login fails safely with a clear corrective message.</t>
  </si>
  <si>
    <t>Medium</t>
  </si>
  <si>
    <t>Do not require validation stricter than valid email standards.</t>
  </si>
  <si>
    <t>Email case handling</t>
  </si>
  <si>
    <t>FB-LGN-011</t>
  </si>
  <si>
    <t>Verify email identifiers are handled without unintended case sensitivity.</t>
  </si>
  <si>
    <t>1. Enter the registered email using uppercase letters
2. Enter correct password
3. Select Log In</t>
  </si>
  <si>
    <t>Active account registered as qa.valid@example.com</t>
  </si>
  <si>
    <t>QA.VALID@EXAMPLE.COM / ValidPass#2026</t>
  </si>
  <si>
    <t>Login succeeds for the same email identity regardless of letter case.</t>
  </si>
  <si>
    <t>Password case sensitivity remains unchanged.</t>
  </si>
  <si>
    <t>Leading and trailing spaces in email</t>
  </si>
  <si>
    <t>FB-LGN-012</t>
  </si>
  <si>
    <t>Verify accidental spaces around an email do not cause unsafe or confusing behavior.</t>
  </si>
  <si>
    <t>1. Enter registered email with leading/trailing spaces
2. Enter correct password
3. Select Log In</t>
  </si>
  <si>
    <t>Active account; user logged out</t>
  </si>
  <si>
    <t xml:space="preserve">  qa.valid@example.com  / ValidPass#2026</t>
  </si>
  <si>
    <t>Session is created only if normalized credentials are valid</t>
  </si>
  <si>
    <t>Spaces are safely trimmed or a clear validation message is shown; no crash occurs.</t>
  </si>
  <si>
    <t>Record actual normalization behavior for regression.</t>
  </si>
  <si>
    <t>Password case sensitivity</t>
  </si>
  <si>
    <t>FB-LGN-013</t>
  </si>
  <si>
    <t>Verify passwords remain case-sensitive.</t>
  </si>
  <si>
    <t>1. Enter registered email
2. Enter correct password with changed letter case
3. Select Log In</t>
  </si>
  <si>
    <t>qa.valid@example.com / validpass#2026</t>
  </si>
  <si>
    <t>Login is denied because the password case differs from the registered password.</t>
  </si>
  <si>
    <t>Do not display the entered password in the error.</t>
  </si>
  <si>
    <t>Password masking</t>
  </si>
  <si>
    <t>FB-LGN-014</t>
  </si>
  <si>
    <t>Verify password characters are concealed while typing.</t>
  </si>
  <si>
    <t>1. Open login page
2. Type a password
3. Observe the password field</t>
  </si>
  <si>
    <t>Login page is loaded</t>
  </si>
  <si>
    <t>SecretPass#2026</t>
  </si>
  <si>
    <t>No session change</t>
  </si>
  <si>
    <t>Each password character is masked and is not visible as plain text by default.</t>
  </si>
  <si>
    <t>Also verify copy/paste behavior follows product policy.</t>
  </si>
  <si>
    <t>Show/hide password control</t>
  </si>
  <si>
    <t>FB-LGN-015</t>
  </si>
  <si>
    <t>Verify the visibility control toggles the password safely, if present.</t>
  </si>
  <si>
    <t>1. Type a password
2. Activate show-password control
3. Activate it again</t>
  </si>
  <si>
    <t>Login page includes a password visibility control</t>
  </si>
  <si>
    <t>Password ends in masked state; no session change</t>
  </si>
  <si>
    <t>First activation reveals the entered value; second masks it; value and focus are preserved.</t>
  </si>
  <si>
    <t>If the control is not offered, mark Not Applicable rather than Failed.</t>
  </si>
  <si>
    <t>Forgotten password navigation</t>
  </si>
  <si>
    <t>FB-LGN-016</t>
  </si>
  <si>
    <t>Verify the forgotten-password link opens account recovery.</t>
  </si>
  <si>
    <t>1. Open login page
2. Select Forgotten password?</t>
  </si>
  <si>
    <t>Registered identifier available for later recovery steps</t>
  </si>
  <si>
    <t>User is on the recovery flow</t>
  </si>
  <si>
    <t>The correct recovery page opens over HTTPS and provides a way to identify the account.</t>
  </si>
  <si>
    <t>Do not complete recovery on a real personal account.</t>
  </si>
  <si>
    <t>Recovery for registered email</t>
  </si>
  <si>
    <t>FB-LGN-017</t>
  </si>
  <si>
    <t>Verify account recovery can be initiated for a registered email.</t>
  </si>
  <si>
    <t>1. Open recovery flow
2. Enter registered email
3. Submit</t>
  </si>
  <si>
    <t>Recovery page loaded; test mailbox accessible</t>
  </si>
  <si>
    <t>qa.valid@example.com</t>
  </si>
  <si>
    <t>Recovery request is generated according to policy</t>
  </si>
  <si>
    <t>The account is located and an appropriate verification method is offered without exposing sensitive data.</t>
  </si>
  <si>
    <t>Use a controlled mailbox and invalidate any generated token after testing.</t>
  </si>
  <si>
    <t>Recovery for unknown identifier</t>
  </si>
  <si>
    <t>FB-LGN-018</t>
  </si>
  <si>
    <t>Verify recovery safely handles an unregistered identifier.</t>
  </si>
  <si>
    <t>1. Open recovery flow
2. Enter unknown email/phone
3. Submit</t>
  </si>
  <si>
    <t>Recovery page loaded</t>
  </si>
  <si>
    <t>unknown.user@example.com</t>
  </si>
  <si>
    <t>No unauthorized recovery is initiated</t>
  </si>
  <si>
    <t>A safe, helpful response is shown without exposing account existence or private data.</t>
  </si>
  <si>
    <t>Check for account-enumeration resistance.</t>
  </si>
  <si>
    <t>Disabled account login</t>
  </si>
  <si>
    <t>FB-LGN-019</t>
  </si>
  <si>
    <t>Verify a disabled test account cannot authenticate and receives appropriate guidance.</t>
  </si>
  <si>
    <t>1. Enter disabled account identifier
2. Enter its correct password
3. Select Log In</t>
  </si>
  <si>
    <t>Controlled disabled test account exists</t>
  </si>
  <si>
    <t>disabled.qa@example.com / DisabledPass#2026</t>
  </si>
  <si>
    <t>Login is blocked and the user receives safe next-step guidance appropriate to account status.</t>
  </si>
  <si>
    <t>Requires a preconfigured disabled test account.</t>
  </si>
  <si>
    <t>Repeated failed attempts</t>
  </si>
  <si>
    <t>FB-LGN-020</t>
  </si>
  <si>
    <t>Verify abuse controls respond to repeated incorrect passwords.</t>
  </si>
  <si>
    <t>1. Enter valid identifier with wrong password repeatedly
2. Observe responses and timing
3. Attempt another login</t>
  </si>
  <si>
    <t>Controlled test account; threshold agreed with security team</t>
  </si>
  <si>
    <t>qa.valid@example.com / sequential wrong passwords</t>
  </si>
  <si>
    <t>Account/session remains protected; any challenge or throttling is recorded</t>
  </si>
  <si>
    <t>Rate limiting, delay, challenge, or other approved protection activates without leaking sensitive information.</t>
  </si>
  <si>
    <t>Execute only in an authorized test environment; do not cause production lockout.</t>
  </si>
  <si>
    <t>SQL injection payload</t>
  </si>
  <si>
    <t>FB-LGN-021</t>
  </si>
  <si>
    <t>Verify credential fields safely handle a basic SQL injection string.</t>
  </si>
  <si>
    <t>1. Enter injection string in identifier field
2. Enter any password
3. Submit</t>
  </si>
  <si>
    <t>Authorized security test environment</t>
  </si>
  <si>
    <t>Identifier: ' OR '1'='1
Password: Test#123</t>
  </si>
  <si>
    <t>No authenticated session; no data or system state is altered</t>
  </si>
  <si>
    <t>Input is treated as data, authentication fails safely, and no database/system error is exposed.</t>
  </si>
  <si>
    <t>Security test; coordinate with application owner.</t>
  </si>
  <si>
    <t>Cross-site scripting payload</t>
  </si>
  <si>
    <t>FB-LGN-022</t>
  </si>
  <si>
    <t>Verify login inputs do not execute or reflect script content unsafely.</t>
  </si>
  <si>
    <t>1. Enter a harmless test script string
2. Enter any password
3. Submit
4. Observe page and error area</t>
  </si>
  <si>
    <t>&lt;script&gt;alert('test')&lt;/script&gt; / Test#123</t>
  </si>
  <si>
    <t>No authenticated session; no script persists or executes</t>
  </si>
  <si>
    <t>The payload is encoded or rejected; no script executes and no unsafe reflection occurs.</t>
  </si>
  <si>
    <t>Use only a harmless payload in an approved environment.</t>
  </si>
  <si>
    <t>HTTPS transport</t>
  </si>
  <si>
    <t>FB-LGN-023</t>
  </si>
  <si>
    <t>Verify login and authentication requests use secure transport.</t>
  </si>
  <si>
    <t>1. Navigate using an http URL
2. Observe redirect
3. Submit login while inspecting approved browser security indicators</t>
  </si>
  <si>
    <t>Internet available; browser developer tools permitted</t>
  </si>
  <si>
    <t>Valid test credentials</t>
  </si>
  <si>
    <t>Authenticated session, if created, uses secure transport</t>
  </si>
  <si>
    <t>HTTP redirects to HTTPS; no credential is sent over an insecure connection; no mixed-content warning appears.</t>
  </si>
  <si>
    <t>Never capture or share real credentials in logs.</t>
  </si>
  <si>
    <t>Back button after logout</t>
  </si>
  <si>
    <t>FB-LGN-024</t>
  </si>
  <si>
    <t>Verify protected content is not restored after logout by browser navigation.</t>
  </si>
  <si>
    <t>1. Log in
2. Log out
3. Press browser Back
4. Attempt to interact with prior content</t>
  </si>
  <si>
    <t>Active test account; browser cache enabled</t>
  </si>
  <si>
    <t>Session remains terminated</t>
  </si>
  <si>
    <t>Protected content is not accessible; reauthentication is required and cached views do not restore an active session.</t>
  </si>
  <si>
    <t>Check both visible content and network access.</t>
  </si>
  <si>
    <t>Session persists on refresh</t>
  </si>
  <si>
    <t>FB-LGN-025</t>
  </si>
  <si>
    <t>Verify a valid authenticated session survives a normal page refresh.</t>
  </si>
  <si>
    <t>1. Log in successfully
2. Refresh the Home page
3. Observe account state</t>
  </si>
  <si>
    <t>Active test account; normal cookies enabled</t>
  </si>
  <si>
    <t>User remains authenticated within valid session policy</t>
  </si>
  <si>
    <t>Refresh completes without returning the user to login or switching accounts.</t>
  </si>
  <si>
    <t>Run before explicit logout or session expiry.</t>
  </si>
  <si>
    <t>Expired session handling</t>
  </si>
  <si>
    <t>FB-LGN-026</t>
  </si>
  <si>
    <t>Verify an expired session redirects safely to reauthentication.</t>
  </si>
  <si>
    <t>1. Log in
2. Expire the test session using approved method
3. Request protected content</t>
  </si>
  <si>
    <t>Ability to expire a session in test environment</t>
  </si>
  <si>
    <t>Expired session cannot access protected content</t>
  </si>
  <si>
    <t>User is prompted to log in again; unsaved sensitive data is not exposed and no redirect loop occurs.</t>
  </si>
  <si>
    <t>Use test tooling rather than waiting for production timeout.</t>
  </si>
  <si>
    <t>Keyboard-only navigation</t>
  </si>
  <si>
    <t>FB-LGN-027</t>
  </si>
  <si>
    <t>Verify all login actions can be completed with a keyboard.</t>
  </si>
  <si>
    <t>1. Load login page
2. Navigate using Tab/Shift+Tab
3. Enter credentials
4. Submit with keyboard</t>
  </si>
  <si>
    <t>Login page loaded</t>
  </si>
  <si>
    <t>Focus order is logical and visible; all controls are reachable and login succeeds without a pointing device.</t>
  </si>
  <si>
    <t>Include recovery and create-account links in focus-order check.</t>
  </si>
  <si>
    <t>Accessible labels and errors</t>
  </si>
  <si>
    <t>FB-LGN-028</t>
  </si>
  <si>
    <t>Verify fields and validation messages are programmatically identifiable.</t>
  </si>
  <si>
    <t>1. Inspect with an approved screen reader
2. Navigate to each field
3. Trigger validation errors</t>
  </si>
  <si>
    <t>Screen reader available; user logged out</t>
  </si>
  <si>
    <t>Blank credentials, then malformed identifier</t>
  </si>
  <si>
    <t>Controls have meaningful names; required state and errors are announced; focus is managed appropriately.</t>
  </si>
  <si>
    <t>Test with at least one supported screen reader/browser pairing.</t>
  </si>
  <si>
    <t>Mobile responsive login</t>
  </si>
  <si>
    <t>FB-LGN-029</t>
  </si>
  <si>
    <t>Verify login remains usable on a supported mobile viewport.</t>
  </si>
  <si>
    <t>1. Open login page on supported mobile device/viewport
2. Rotate if supported
3. Enter valid credentials
4. Submit</t>
  </si>
  <si>
    <t>Supported mobile browser; active account</t>
  </si>
  <si>
    <t>Authenticated mobile session is created</t>
  </si>
  <si>
    <t>Fields, keyboard, buttons, and messages remain visible and usable without unintended horizontal scrolling.</t>
  </si>
  <si>
    <t>Capture device, OS, browser, and viewport in execution comments.</t>
  </si>
  <si>
    <t>Network interruption during login</t>
  </si>
  <si>
    <t>FB-LGN-030</t>
  </si>
  <si>
    <t>Verify a lost network connection is handled without duplicate or misleading authentication.</t>
  </si>
  <si>
    <t>1. Enter valid credentials
2. Interrupt network before submission/response
3. Select Log In
4. Restore network and retry once</t>
  </si>
  <si>
    <t>Ability to simulate network loss; user logged out</t>
  </si>
  <si>
    <t>At most one valid session is created after recovery</t>
  </si>
  <si>
    <t>A clear retryable error is shown; page remains stable; restored connection allows a controlled retry without duplicate actions.</t>
  </si>
  <si>
    <t>Confirm the password is not exposed in diagnostics or page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</si>
</sst>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b/>
      <sz val="10"/>
      <color theme="1"/>
      <name val="Aptos"/>
    </font>
    <font>
      <b/>
      <sz val="14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153B6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7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3" borderId="0" xfId="0" applyFont="1" applyFill="1"/>
    <xf numFmtId="0" fontId="4" fillId="3" borderId="1" xfId="0" applyFont="1" applyFill="1" applyBorder="1"/>
    <xf numFmtId="0" fontId="1" fillId="0" borderId="1" xfId="0" applyFont="1" applyBorder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15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/>
        <i val="0"/>
      </font>
      <fill>
        <patternFill patternType="solid">
          <fgColor indexed="64"/>
          <bgColor rgb="FFF8CBAD"/>
        </patternFill>
      </fill>
    </dxf>
    <dxf>
      <font>
        <color rgb="FF660000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sz val="10"/>
        <name val="Aptos"/>
      </font>
      <alignment vertical="top" wrapText="1"/>
    </dxf>
    <dxf>
      <font>
        <sz val="10"/>
        <name val="Aptos"/>
      </font>
      <alignment horizontal="center" vertical="top" wrapText="1"/>
    </dxf>
    <dxf>
      <font>
        <sz val="10"/>
        <name val="Aptos"/>
      </font>
      <alignment horizontal="center"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horizontal="center"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horizontal="general" vertical="top" textRotation="0" wrapText="1" indent="0" justifyLastLine="0" shrinkToFit="0" readingOrder="0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sz val="10"/>
        <name val="Aptos"/>
      </font>
      <alignment vertical="top" wrapText="1"/>
    </dxf>
    <dxf>
      <font>
        <b/>
        <sz val="10"/>
        <color rgb="FFFFFFFF"/>
        <name val="Aptos"/>
      </font>
      <fill>
        <patternFill patternType="solid">
          <fgColor indexed="64"/>
          <bgColor rgb="FF1F4E78"/>
        </patternFill>
      </fill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7708B-D799-4508-944B-60C95A9008C5}" name="FacebookLoginTestCases" displayName="FacebookLoginTestCases" ref="A10:O40" totalsRowShown="0" headerRowDxfId="21" dataDxfId="20">
  <autoFilter ref="A10:O40" xr:uid="{18D7708B-D799-4508-944B-60C95A9008C5}"/>
  <tableColumns count="15">
    <tableColumn id="1" xr3:uid="{19E61874-C1A2-48F6-8674-536C6DA3C8AF}" name="Test Scenario" dataDxfId="19"/>
    <tableColumn id="2" xr3:uid="{C03BBFBA-A029-4B61-AFF5-479781E132F8}" name="Test Case ID" dataDxfId="18"/>
    <tableColumn id="3" xr3:uid="{B759D0F3-F1EA-4A1B-8668-243889B269BE}" name="Description" dataDxfId="17"/>
    <tableColumn id="4" xr3:uid="{4EA6BB4F-A925-4D6E-84E9-7A78A128E734}" name="Test Steps" dataDxfId="16"/>
    <tableColumn id="5" xr3:uid="{7902D794-958A-4AF5-B58C-711C28441E5A}" name="Preconditions" dataDxfId="15"/>
    <tableColumn id="6" xr3:uid="{E54C4E93-5CBC-4C44-B87B-16E81EA52D99}" name="Test Data" dataDxfId="14"/>
    <tableColumn id="7" xr3:uid="{7FE40EEA-CA74-45C7-8A5A-59380E7DAFD4}" name="Postconditions" dataDxfId="13"/>
    <tableColumn id="8" xr3:uid="{B434FB4B-8A03-407A-A44E-E49D5CECC828}" name="Expected Result" dataDxfId="12"/>
    <tableColumn id="9" xr3:uid="{09544214-BC8F-47C6-8CD1-CAB80EE11035}" name="Actual Result" dataDxfId="11"/>
    <tableColumn id="10" xr3:uid="{03AD062A-F1F7-4031-AEDC-E254950B304F}" name="Status" dataDxfId="10"/>
    <tableColumn id="11" xr3:uid="{BEC434E1-5291-4EDB-9827-66E78E2DD94D}" name="Executed By" dataDxfId="9"/>
    <tableColumn id="12" xr3:uid="{A232D54F-AD98-4E27-97C4-816797A06312}" name="Execution Date" dataDxfId="8"/>
    <tableColumn id="13" xr3:uid="{334565BF-B3E2-4EE6-80CF-67C47C6E7431}" name="Priority" dataDxfId="7"/>
    <tableColumn id="14" xr3:uid="{D89C1B12-657D-49CE-AA21-49BD236BD396}" name="Type" dataDxfId="6"/>
    <tableColumn id="15" xr3:uid="{D71FA2BE-0BA7-46EF-83A4-63CDB535057B}" name="Additional Comment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A2C7-AE94-400C-974F-5047A54A4807}">
  <dimension ref="A1:O40"/>
  <sheetViews>
    <sheetView tabSelected="1" zoomScale="70" zoomScaleNormal="70" workbookViewId="0">
      <pane ySplit="10" topLeftCell="A11" activePane="bottomLeft" state="frozen"/>
      <selection pane="bottomLeft" activeCell="D14" activeCellId="1" sqref="C11 D14"/>
    </sheetView>
  </sheetViews>
  <sheetFormatPr defaultRowHeight="14.5" x14ac:dyDescent="0.35"/>
  <cols>
    <col min="1" max="1" width="21.81640625" customWidth="1"/>
    <col min="2" max="2" width="16.36328125" customWidth="1"/>
    <col min="3" max="3" width="34.54296875" customWidth="1"/>
    <col min="4" max="4" width="41.81640625" customWidth="1"/>
    <col min="5" max="7" width="32.7265625" customWidth="1"/>
    <col min="8" max="8" width="41.81640625" customWidth="1"/>
    <col min="9" max="9" width="19.08984375" customWidth="1"/>
    <col min="10" max="10" width="13.6328125" customWidth="1"/>
    <col min="11" max="11" width="15.453125" customWidth="1"/>
    <col min="12" max="12" width="16.36328125" customWidth="1"/>
    <col min="13" max="14" width="11.81640625" customWidth="1"/>
    <col min="15" max="15" width="34.54296875" customWidth="1"/>
  </cols>
  <sheetData>
    <row r="1" spans="1:15" ht="32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2" t="s">
        <v>12</v>
      </c>
      <c r="K2" s="12"/>
      <c r="L2" s="12"/>
      <c r="M2" s="12"/>
      <c r="N2" s="12"/>
      <c r="O2" s="12"/>
    </row>
    <row r="3" spans="1:15" x14ac:dyDescent="0.35">
      <c r="A3" s="2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</row>
    <row r="4" spans="1:15" ht="12" customHeight="1" x14ac:dyDescent="0.45">
      <c r="A4" s="2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6">
        <f>COUNTA(B11:B40)</f>
        <v>30</v>
      </c>
      <c r="K4" s="6">
        <f>COUNTIF(N11:N40,"Positive")</f>
        <v>13</v>
      </c>
      <c r="L4" s="6">
        <f>COUNTIF(N11:N40,"Negative")</f>
        <v>17</v>
      </c>
      <c r="M4" s="6">
        <f>COUNTIF(J11:J40,"Not Run")</f>
        <v>30</v>
      </c>
      <c r="N4" s="6">
        <f>COUNTIF(J11:J40,"Passed")</f>
        <v>0</v>
      </c>
      <c r="O4" s="6">
        <f>COUNTIF(J11:J40,"Failed")</f>
        <v>0</v>
      </c>
    </row>
    <row r="5" spans="1:15" ht="12" customHeight="1" x14ac:dyDescent="0.35">
      <c r="A5" s="2" t="s">
        <v>7</v>
      </c>
      <c r="B5" s="10">
        <v>46301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idden="1" x14ac:dyDescent="0.35">
      <c r="A6" s="2" t="s">
        <v>8</v>
      </c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idden="1" x14ac:dyDescent="0.35">
      <c r="A7" s="3" t="s">
        <v>10</v>
      </c>
      <c r="B7" s="4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idden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idden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2" customHeight="1" x14ac:dyDescent="0.35">
      <c r="A10" s="7" t="s">
        <v>19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27</v>
      </c>
      <c r="J10" s="7" t="s">
        <v>28</v>
      </c>
      <c r="K10" s="7" t="s">
        <v>29</v>
      </c>
      <c r="L10" s="7" t="s">
        <v>30</v>
      </c>
      <c r="M10" s="7" t="s">
        <v>31</v>
      </c>
      <c r="N10" s="7" t="s">
        <v>32</v>
      </c>
      <c r="O10" s="7" t="s">
        <v>33</v>
      </c>
    </row>
    <row r="11" spans="1:15" ht="52" x14ac:dyDescent="0.35">
      <c r="A11" s="8" t="s">
        <v>34</v>
      </c>
      <c r="B11" s="8" t="s">
        <v>35</v>
      </c>
      <c r="C11" s="8" t="s">
        <v>36</v>
      </c>
      <c r="D11" s="8" t="s">
        <v>37</v>
      </c>
      <c r="E11" s="8" t="s">
        <v>38</v>
      </c>
      <c r="F11" s="8" t="s">
        <v>39</v>
      </c>
      <c r="G11" s="8" t="s">
        <v>40</v>
      </c>
      <c r="H11" s="8" t="s">
        <v>41</v>
      </c>
      <c r="I11" s="8" t="s">
        <v>42</v>
      </c>
      <c r="J11" s="9" t="s">
        <v>16</v>
      </c>
      <c r="K11" s="8" t="s">
        <v>43</v>
      </c>
      <c r="L11" s="8" t="s">
        <v>44</v>
      </c>
      <c r="M11" s="9" t="s">
        <v>45</v>
      </c>
      <c r="N11" s="9" t="s">
        <v>14</v>
      </c>
      <c r="O11" s="8" t="s">
        <v>46</v>
      </c>
    </row>
    <row r="12" spans="1:15" ht="65" x14ac:dyDescent="0.35">
      <c r="A12" s="8" t="s">
        <v>47</v>
      </c>
      <c r="B12" s="8" t="s">
        <v>48</v>
      </c>
      <c r="C12" s="8" t="s">
        <v>49</v>
      </c>
      <c r="D12" s="8" t="s">
        <v>50</v>
      </c>
      <c r="E12" s="8" t="s">
        <v>51</v>
      </c>
      <c r="F12" s="8" t="s">
        <v>52</v>
      </c>
      <c r="G12" s="8" t="s">
        <v>53</v>
      </c>
      <c r="H12" s="8" t="s">
        <v>54</v>
      </c>
      <c r="I12" s="8" t="s">
        <v>42</v>
      </c>
      <c r="J12" s="9" t="s">
        <v>16</v>
      </c>
      <c r="K12" s="8" t="s">
        <v>43</v>
      </c>
      <c r="L12" s="8" t="s">
        <v>44</v>
      </c>
      <c r="M12" s="9" t="s">
        <v>55</v>
      </c>
      <c r="N12" s="9" t="s">
        <v>14</v>
      </c>
      <c r="O12" s="8" t="s">
        <v>56</v>
      </c>
    </row>
    <row r="13" spans="1:15" ht="39" x14ac:dyDescent="0.35">
      <c r="A13" s="8" t="s">
        <v>57</v>
      </c>
      <c r="B13" s="8" t="s">
        <v>58</v>
      </c>
      <c r="C13" s="8" t="s">
        <v>59</v>
      </c>
      <c r="D13" s="8" t="s">
        <v>60</v>
      </c>
      <c r="E13" s="8" t="s">
        <v>61</v>
      </c>
      <c r="F13" s="8" t="s">
        <v>62</v>
      </c>
      <c r="G13" s="8" t="s">
        <v>53</v>
      </c>
      <c r="H13" s="8" t="s">
        <v>63</v>
      </c>
      <c r="I13" s="8" t="s">
        <v>42</v>
      </c>
      <c r="J13" s="9" t="s">
        <v>16</v>
      </c>
      <c r="K13" s="8" t="s">
        <v>43</v>
      </c>
      <c r="L13" s="8" t="s">
        <v>44</v>
      </c>
      <c r="M13" s="9" t="s">
        <v>55</v>
      </c>
      <c r="N13" s="9" t="s">
        <v>14</v>
      </c>
      <c r="O13" s="8" t="s">
        <v>64</v>
      </c>
    </row>
    <row r="14" spans="1:15" ht="52" x14ac:dyDescent="0.35">
      <c r="A14" s="8" t="s">
        <v>65</v>
      </c>
      <c r="B14" s="8" t="s">
        <v>66</v>
      </c>
      <c r="C14" s="8" t="s">
        <v>67</v>
      </c>
      <c r="D14" s="8" t="s">
        <v>68</v>
      </c>
      <c r="E14" s="8" t="s">
        <v>69</v>
      </c>
      <c r="F14" s="8" t="s">
        <v>70</v>
      </c>
      <c r="G14" s="8" t="s">
        <v>71</v>
      </c>
      <c r="H14" s="8" t="s">
        <v>72</v>
      </c>
      <c r="I14" s="8" t="s">
        <v>42</v>
      </c>
      <c r="J14" s="9" t="s">
        <v>16</v>
      </c>
      <c r="K14" s="8" t="s">
        <v>43</v>
      </c>
      <c r="L14" s="8" t="s">
        <v>44</v>
      </c>
      <c r="M14" s="9" t="s">
        <v>45</v>
      </c>
      <c r="N14" s="9" t="s">
        <v>15</v>
      </c>
      <c r="O14" s="8" t="s">
        <v>73</v>
      </c>
    </row>
    <row r="15" spans="1:15" ht="52" x14ac:dyDescent="0.35">
      <c r="A15" s="8" t="s">
        <v>74</v>
      </c>
      <c r="B15" s="8" t="s">
        <v>75</v>
      </c>
      <c r="C15" s="8" t="s">
        <v>76</v>
      </c>
      <c r="D15" s="8" t="s">
        <v>77</v>
      </c>
      <c r="E15" s="8" t="s">
        <v>61</v>
      </c>
      <c r="F15" s="8" t="s">
        <v>78</v>
      </c>
      <c r="G15" s="8" t="s">
        <v>71</v>
      </c>
      <c r="H15" s="8" t="s">
        <v>79</v>
      </c>
      <c r="I15" s="8" t="s">
        <v>42</v>
      </c>
      <c r="J15" s="9" t="s">
        <v>16</v>
      </c>
      <c r="K15" s="8" t="s">
        <v>43</v>
      </c>
      <c r="L15" s="8" t="s">
        <v>44</v>
      </c>
      <c r="M15" s="9" t="s">
        <v>45</v>
      </c>
      <c r="N15" s="9" t="s">
        <v>15</v>
      </c>
      <c r="O15" s="8" t="s">
        <v>80</v>
      </c>
    </row>
    <row r="16" spans="1:15" ht="52" x14ac:dyDescent="0.35">
      <c r="A16" s="8" t="s">
        <v>81</v>
      </c>
      <c r="B16" s="8" t="s">
        <v>82</v>
      </c>
      <c r="C16" s="8" t="s">
        <v>83</v>
      </c>
      <c r="D16" s="8" t="s">
        <v>84</v>
      </c>
      <c r="E16" s="8" t="s">
        <v>69</v>
      </c>
      <c r="F16" s="8" t="s">
        <v>85</v>
      </c>
      <c r="G16" s="8" t="s">
        <v>71</v>
      </c>
      <c r="H16" s="8" t="s">
        <v>86</v>
      </c>
      <c r="I16" s="8" t="s">
        <v>42</v>
      </c>
      <c r="J16" s="9" t="s">
        <v>16</v>
      </c>
      <c r="K16" s="8" t="s">
        <v>43</v>
      </c>
      <c r="L16" s="8" t="s">
        <v>44</v>
      </c>
      <c r="M16" s="9" t="s">
        <v>45</v>
      </c>
      <c r="N16" s="9" t="s">
        <v>15</v>
      </c>
      <c r="O16" s="8" t="s">
        <v>87</v>
      </c>
    </row>
    <row r="17" spans="1:15" ht="39" x14ac:dyDescent="0.35">
      <c r="A17" s="8" t="s">
        <v>88</v>
      </c>
      <c r="B17" s="8" t="s">
        <v>89</v>
      </c>
      <c r="C17" s="8" t="s">
        <v>90</v>
      </c>
      <c r="D17" s="8" t="s">
        <v>91</v>
      </c>
      <c r="E17" s="8" t="s">
        <v>69</v>
      </c>
      <c r="F17" s="8" t="s">
        <v>92</v>
      </c>
      <c r="G17" s="8" t="s">
        <v>71</v>
      </c>
      <c r="H17" s="8" t="s">
        <v>93</v>
      </c>
      <c r="I17" s="8" t="s">
        <v>42</v>
      </c>
      <c r="J17" s="9" t="s">
        <v>16</v>
      </c>
      <c r="K17" s="8" t="s">
        <v>43</v>
      </c>
      <c r="L17" s="8" t="s">
        <v>44</v>
      </c>
      <c r="M17" s="9" t="s">
        <v>55</v>
      </c>
      <c r="N17" s="9" t="s">
        <v>15</v>
      </c>
      <c r="O17" s="8" t="s">
        <v>94</v>
      </c>
    </row>
    <row r="18" spans="1:15" ht="52" x14ac:dyDescent="0.35">
      <c r="A18" s="8" t="s">
        <v>95</v>
      </c>
      <c r="B18" s="8" t="s">
        <v>96</v>
      </c>
      <c r="C18" s="8" t="s">
        <v>97</v>
      </c>
      <c r="D18" s="8" t="s">
        <v>98</v>
      </c>
      <c r="E18" s="8" t="s">
        <v>69</v>
      </c>
      <c r="F18" s="8" t="s">
        <v>99</v>
      </c>
      <c r="G18" s="8" t="s">
        <v>71</v>
      </c>
      <c r="H18" s="8" t="s">
        <v>100</v>
      </c>
      <c r="I18" s="8" t="s">
        <v>42</v>
      </c>
      <c r="J18" s="9" t="s">
        <v>16</v>
      </c>
      <c r="K18" s="8" t="s">
        <v>43</v>
      </c>
      <c r="L18" s="8" t="s">
        <v>44</v>
      </c>
      <c r="M18" s="9" t="s">
        <v>55</v>
      </c>
      <c r="N18" s="9" t="s">
        <v>15</v>
      </c>
      <c r="O18" s="8" t="s">
        <v>101</v>
      </c>
    </row>
    <row r="19" spans="1:15" ht="52" x14ac:dyDescent="0.35">
      <c r="A19" s="8" t="s">
        <v>102</v>
      </c>
      <c r="B19" s="8" t="s">
        <v>103</v>
      </c>
      <c r="C19" s="8" t="s">
        <v>104</v>
      </c>
      <c r="D19" s="8" t="s">
        <v>105</v>
      </c>
      <c r="E19" s="8" t="s">
        <v>69</v>
      </c>
      <c r="F19" s="8" t="s">
        <v>106</v>
      </c>
      <c r="G19" s="8" t="s">
        <v>71</v>
      </c>
      <c r="H19" s="8" t="s">
        <v>107</v>
      </c>
      <c r="I19" s="8" t="s">
        <v>42</v>
      </c>
      <c r="J19" s="9" t="s">
        <v>16</v>
      </c>
      <c r="K19" s="8" t="s">
        <v>43</v>
      </c>
      <c r="L19" s="8" t="s">
        <v>44</v>
      </c>
      <c r="M19" s="9" t="s">
        <v>55</v>
      </c>
      <c r="N19" s="9" t="s">
        <v>15</v>
      </c>
      <c r="O19" s="8" t="s">
        <v>108</v>
      </c>
    </row>
    <row r="20" spans="1:15" ht="52" x14ac:dyDescent="0.35">
      <c r="A20" s="8" t="s">
        <v>109</v>
      </c>
      <c r="B20" s="8" t="s">
        <v>110</v>
      </c>
      <c r="C20" s="8" t="s">
        <v>111</v>
      </c>
      <c r="D20" s="8" t="s">
        <v>112</v>
      </c>
      <c r="E20" s="8" t="s">
        <v>69</v>
      </c>
      <c r="F20" s="8" t="s">
        <v>113</v>
      </c>
      <c r="G20" s="8" t="s">
        <v>71</v>
      </c>
      <c r="H20" s="8" t="s">
        <v>114</v>
      </c>
      <c r="I20" s="8" t="s">
        <v>42</v>
      </c>
      <c r="J20" s="9" t="s">
        <v>16</v>
      </c>
      <c r="K20" s="8" t="s">
        <v>43</v>
      </c>
      <c r="L20" s="8" t="s">
        <v>44</v>
      </c>
      <c r="M20" s="9" t="s">
        <v>115</v>
      </c>
      <c r="N20" s="9" t="s">
        <v>15</v>
      </c>
      <c r="O20" s="8" t="s">
        <v>116</v>
      </c>
    </row>
    <row r="21" spans="1:15" ht="52" x14ac:dyDescent="0.35">
      <c r="A21" s="8" t="s">
        <v>117</v>
      </c>
      <c r="B21" s="8" t="s">
        <v>118</v>
      </c>
      <c r="C21" s="8" t="s">
        <v>119</v>
      </c>
      <c r="D21" s="8" t="s">
        <v>120</v>
      </c>
      <c r="E21" s="8" t="s">
        <v>121</v>
      </c>
      <c r="F21" s="8" t="s">
        <v>122</v>
      </c>
      <c r="G21" s="8" t="s">
        <v>53</v>
      </c>
      <c r="H21" s="8" t="s">
        <v>123</v>
      </c>
      <c r="I21" s="8" t="s">
        <v>42</v>
      </c>
      <c r="J21" s="9" t="s">
        <v>16</v>
      </c>
      <c r="K21" s="8" t="s">
        <v>43</v>
      </c>
      <c r="L21" s="8" t="s">
        <v>44</v>
      </c>
      <c r="M21" s="9" t="s">
        <v>115</v>
      </c>
      <c r="N21" s="9" t="s">
        <v>14</v>
      </c>
      <c r="O21" s="8" t="s">
        <v>124</v>
      </c>
    </row>
    <row r="22" spans="1:15" ht="52" x14ac:dyDescent="0.35">
      <c r="A22" s="8" t="s">
        <v>125</v>
      </c>
      <c r="B22" s="8" t="s">
        <v>126</v>
      </c>
      <c r="C22" s="8" t="s">
        <v>127</v>
      </c>
      <c r="D22" s="8" t="s">
        <v>128</v>
      </c>
      <c r="E22" s="8" t="s">
        <v>129</v>
      </c>
      <c r="F22" s="8" t="s">
        <v>130</v>
      </c>
      <c r="G22" s="8" t="s">
        <v>131</v>
      </c>
      <c r="H22" s="8" t="s">
        <v>132</v>
      </c>
      <c r="I22" s="8" t="s">
        <v>42</v>
      </c>
      <c r="J22" s="9" t="s">
        <v>16</v>
      </c>
      <c r="K22" s="8" t="s">
        <v>43</v>
      </c>
      <c r="L22" s="8" t="s">
        <v>44</v>
      </c>
      <c r="M22" s="9" t="s">
        <v>115</v>
      </c>
      <c r="N22" s="9" t="s">
        <v>14</v>
      </c>
      <c r="O22" s="8" t="s">
        <v>133</v>
      </c>
    </row>
    <row r="23" spans="1:15" ht="39" x14ac:dyDescent="0.35">
      <c r="A23" s="8" t="s">
        <v>134</v>
      </c>
      <c r="B23" s="8" t="s">
        <v>135</v>
      </c>
      <c r="C23" s="8" t="s">
        <v>136</v>
      </c>
      <c r="D23" s="8" t="s">
        <v>137</v>
      </c>
      <c r="E23" s="8" t="s">
        <v>129</v>
      </c>
      <c r="F23" s="8" t="s">
        <v>138</v>
      </c>
      <c r="G23" s="8" t="s">
        <v>71</v>
      </c>
      <c r="H23" s="8" t="s">
        <v>139</v>
      </c>
      <c r="I23" s="8" t="s">
        <v>42</v>
      </c>
      <c r="J23" s="9" t="s">
        <v>16</v>
      </c>
      <c r="K23" s="8" t="s">
        <v>43</v>
      </c>
      <c r="L23" s="8" t="s">
        <v>44</v>
      </c>
      <c r="M23" s="9" t="s">
        <v>55</v>
      </c>
      <c r="N23" s="9" t="s">
        <v>15</v>
      </c>
      <c r="O23" s="8" t="s">
        <v>140</v>
      </c>
    </row>
    <row r="24" spans="1:15" ht="39" x14ac:dyDescent="0.35">
      <c r="A24" s="8" t="s">
        <v>141</v>
      </c>
      <c r="B24" s="8" t="s">
        <v>142</v>
      </c>
      <c r="C24" s="8" t="s">
        <v>143</v>
      </c>
      <c r="D24" s="8" t="s">
        <v>144</v>
      </c>
      <c r="E24" s="8" t="s">
        <v>145</v>
      </c>
      <c r="F24" s="8" t="s">
        <v>146</v>
      </c>
      <c r="G24" s="8" t="s">
        <v>147</v>
      </c>
      <c r="H24" s="8" t="s">
        <v>148</v>
      </c>
      <c r="I24" s="8" t="s">
        <v>42</v>
      </c>
      <c r="J24" s="9" t="s">
        <v>16</v>
      </c>
      <c r="K24" s="8" t="s">
        <v>43</v>
      </c>
      <c r="L24" s="8" t="s">
        <v>44</v>
      </c>
      <c r="M24" s="9" t="s">
        <v>55</v>
      </c>
      <c r="N24" s="9" t="s">
        <v>14</v>
      </c>
      <c r="O24" s="8" t="s">
        <v>149</v>
      </c>
    </row>
    <row r="25" spans="1:15" ht="39" x14ac:dyDescent="0.35">
      <c r="A25" s="8" t="s">
        <v>150</v>
      </c>
      <c r="B25" s="8" t="s">
        <v>151</v>
      </c>
      <c r="C25" s="8" t="s">
        <v>152</v>
      </c>
      <c r="D25" s="8" t="s">
        <v>153</v>
      </c>
      <c r="E25" s="8" t="s">
        <v>154</v>
      </c>
      <c r="F25" s="8" t="s">
        <v>146</v>
      </c>
      <c r="G25" s="8" t="s">
        <v>155</v>
      </c>
      <c r="H25" s="8" t="s">
        <v>156</v>
      </c>
      <c r="I25" s="8" t="s">
        <v>42</v>
      </c>
      <c r="J25" s="9" t="s">
        <v>16</v>
      </c>
      <c r="K25" s="8" t="s">
        <v>43</v>
      </c>
      <c r="L25" s="8" t="s">
        <v>44</v>
      </c>
      <c r="M25" s="9" t="s">
        <v>115</v>
      </c>
      <c r="N25" s="9" t="s">
        <v>14</v>
      </c>
      <c r="O25" s="8" t="s">
        <v>157</v>
      </c>
    </row>
    <row r="26" spans="1:15" ht="26" x14ac:dyDescent="0.35">
      <c r="A26" s="8" t="s">
        <v>158</v>
      </c>
      <c r="B26" s="8" t="s">
        <v>159</v>
      </c>
      <c r="C26" s="8" t="s">
        <v>160</v>
      </c>
      <c r="D26" s="8" t="s">
        <v>161</v>
      </c>
      <c r="E26" s="8" t="s">
        <v>145</v>
      </c>
      <c r="F26" s="8" t="s">
        <v>162</v>
      </c>
      <c r="G26" s="8" t="s">
        <v>163</v>
      </c>
      <c r="H26" s="8" t="s">
        <v>164</v>
      </c>
      <c r="I26" s="8" t="s">
        <v>42</v>
      </c>
      <c r="J26" s="9" t="s">
        <v>16</v>
      </c>
      <c r="K26" s="8" t="s">
        <v>43</v>
      </c>
      <c r="L26" s="8" t="s">
        <v>44</v>
      </c>
      <c r="M26" s="9" t="s">
        <v>55</v>
      </c>
      <c r="N26" s="9" t="s">
        <v>14</v>
      </c>
      <c r="O26" s="8" t="s">
        <v>165</v>
      </c>
    </row>
    <row r="27" spans="1:15" ht="39" x14ac:dyDescent="0.35">
      <c r="A27" s="8" t="s">
        <v>166</v>
      </c>
      <c r="B27" s="8" t="s">
        <v>167</v>
      </c>
      <c r="C27" s="8" t="s">
        <v>168</v>
      </c>
      <c r="D27" s="8" t="s">
        <v>169</v>
      </c>
      <c r="E27" s="8" t="s">
        <v>170</v>
      </c>
      <c r="F27" s="8" t="s">
        <v>171</v>
      </c>
      <c r="G27" s="8" t="s">
        <v>172</v>
      </c>
      <c r="H27" s="8" t="s">
        <v>173</v>
      </c>
      <c r="I27" s="8" t="s">
        <v>42</v>
      </c>
      <c r="J27" s="9" t="s">
        <v>16</v>
      </c>
      <c r="K27" s="8" t="s">
        <v>43</v>
      </c>
      <c r="L27" s="8" t="s">
        <v>44</v>
      </c>
      <c r="M27" s="9" t="s">
        <v>45</v>
      </c>
      <c r="N27" s="9" t="s">
        <v>14</v>
      </c>
      <c r="O27" s="8" t="s">
        <v>174</v>
      </c>
    </row>
    <row r="28" spans="1:15" ht="39" x14ac:dyDescent="0.35">
      <c r="A28" s="8" t="s">
        <v>175</v>
      </c>
      <c r="B28" s="8" t="s">
        <v>176</v>
      </c>
      <c r="C28" s="8" t="s">
        <v>177</v>
      </c>
      <c r="D28" s="8" t="s">
        <v>178</v>
      </c>
      <c r="E28" s="8" t="s">
        <v>179</v>
      </c>
      <c r="F28" s="8" t="s">
        <v>180</v>
      </c>
      <c r="G28" s="8" t="s">
        <v>181</v>
      </c>
      <c r="H28" s="8" t="s">
        <v>182</v>
      </c>
      <c r="I28" s="8" t="s">
        <v>42</v>
      </c>
      <c r="J28" s="9" t="s">
        <v>16</v>
      </c>
      <c r="K28" s="8" t="s">
        <v>43</v>
      </c>
      <c r="L28" s="8" t="s">
        <v>44</v>
      </c>
      <c r="M28" s="9" t="s">
        <v>55</v>
      </c>
      <c r="N28" s="9" t="s">
        <v>15</v>
      </c>
      <c r="O28" s="8" t="s">
        <v>183</v>
      </c>
    </row>
    <row r="29" spans="1:15" ht="39" x14ac:dyDescent="0.35">
      <c r="A29" s="8" t="s">
        <v>184</v>
      </c>
      <c r="B29" s="8" t="s">
        <v>185</v>
      </c>
      <c r="C29" s="8" t="s">
        <v>186</v>
      </c>
      <c r="D29" s="8" t="s">
        <v>187</v>
      </c>
      <c r="E29" s="8" t="s">
        <v>188</v>
      </c>
      <c r="F29" s="8" t="s">
        <v>189</v>
      </c>
      <c r="G29" s="8" t="s">
        <v>71</v>
      </c>
      <c r="H29" s="8" t="s">
        <v>190</v>
      </c>
      <c r="I29" s="8" t="s">
        <v>42</v>
      </c>
      <c r="J29" s="9" t="s">
        <v>16</v>
      </c>
      <c r="K29" s="8" t="s">
        <v>43</v>
      </c>
      <c r="L29" s="8" t="s">
        <v>44</v>
      </c>
      <c r="M29" s="9" t="s">
        <v>45</v>
      </c>
      <c r="N29" s="9" t="s">
        <v>15</v>
      </c>
      <c r="O29" s="8" t="s">
        <v>191</v>
      </c>
    </row>
    <row r="30" spans="1:15" ht="52" x14ac:dyDescent="0.35">
      <c r="A30" s="8" t="s">
        <v>192</v>
      </c>
      <c r="B30" s="8" t="s">
        <v>193</v>
      </c>
      <c r="C30" s="8" t="s">
        <v>194</v>
      </c>
      <c r="D30" s="8" t="s">
        <v>195</v>
      </c>
      <c r="E30" s="8" t="s">
        <v>196</v>
      </c>
      <c r="F30" s="8" t="s">
        <v>197</v>
      </c>
      <c r="G30" s="8" t="s">
        <v>198</v>
      </c>
      <c r="H30" s="8" t="s">
        <v>199</v>
      </c>
      <c r="I30" s="8" t="s">
        <v>42</v>
      </c>
      <c r="J30" s="9" t="s">
        <v>16</v>
      </c>
      <c r="K30" s="8" t="s">
        <v>43</v>
      </c>
      <c r="L30" s="8" t="s">
        <v>44</v>
      </c>
      <c r="M30" s="9" t="s">
        <v>45</v>
      </c>
      <c r="N30" s="9" t="s">
        <v>15</v>
      </c>
      <c r="O30" s="8" t="s">
        <v>200</v>
      </c>
    </row>
    <row r="31" spans="1:15" ht="39" x14ac:dyDescent="0.35">
      <c r="A31" s="8" t="s">
        <v>201</v>
      </c>
      <c r="B31" s="8" t="s">
        <v>202</v>
      </c>
      <c r="C31" s="8" t="s">
        <v>203</v>
      </c>
      <c r="D31" s="8" t="s">
        <v>204</v>
      </c>
      <c r="E31" s="8" t="s">
        <v>205</v>
      </c>
      <c r="F31" s="8" t="s">
        <v>206</v>
      </c>
      <c r="G31" s="8" t="s">
        <v>207</v>
      </c>
      <c r="H31" s="8" t="s">
        <v>208</v>
      </c>
      <c r="I31" s="8" t="s">
        <v>42</v>
      </c>
      <c r="J31" s="9" t="s">
        <v>16</v>
      </c>
      <c r="K31" s="8" t="s">
        <v>43</v>
      </c>
      <c r="L31" s="8" t="s">
        <v>44</v>
      </c>
      <c r="M31" s="9" t="s">
        <v>45</v>
      </c>
      <c r="N31" s="9" t="s">
        <v>15</v>
      </c>
      <c r="O31" s="8" t="s">
        <v>209</v>
      </c>
    </row>
    <row r="32" spans="1:15" ht="52" x14ac:dyDescent="0.35">
      <c r="A32" s="8" t="s">
        <v>210</v>
      </c>
      <c r="B32" s="8" t="s">
        <v>211</v>
      </c>
      <c r="C32" s="8" t="s">
        <v>212</v>
      </c>
      <c r="D32" s="8" t="s">
        <v>213</v>
      </c>
      <c r="E32" s="8" t="s">
        <v>205</v>
      </c>
      <c r="F32" s="8" t="s">
        <v>214</v>
      </c>
      <c r="G32" s="8" t="s">
        <v>215</v>
      </c>
      <c r="H32" s="8" t="s">
        <v>216</v>
      </c>
      <c r="I32" s="8" t="s">
        <v>42</v>
      </c>
      <c r="J32" s="9" t="s">
        <v>16</v>
      </c>
      <c r="K32" s="8" t="s">
        <v>43</v>
      </c>
      <c r="L32" s="8" t="s">
        <v>44</v>
      </c>
      <c r="M32" s="9" t="s">
        <v>45</v>
      </c>
      <c r="N32" s="9" t="s">
        <v>15</v>
      </c>
      <c r="O32" s="8" t="s">
        <v>217</v>
      </c>
    </row>
    <row r="33" spans="1:15" ht="52" x14ac:dyDescent="0.35">
      <c r="A33" s="8" t="s">
        <v>218</v>
      </c>
      <c r="B33" s="8" t="s">
        <v>219</v>
      </c>
      <c r="C33" s="8" t="s">
        <v>220</v>
      </c>
      <c r="D33" s="8" t="s">
        <v>221</v>
      </c>
      <c r="E33" s="8" t="s">
        <v>222</v>
      </c>
      <c r="F33" s="8" t="s">
        <v>223</v>
      </c>
      <c r="G33" s="8" t="s">
        <v>224</v>
      </c>
      <c r="H33" s="8" t="s">
        <v>225</v>
      </c>
      <c r="I33" s="8" t="s">
        <v>42</v>
      </c>
      <c r="J33" s="9" t="s">
        <v>16</v>
      </c>
      <c r="K33" s="8" t="s">
        <v>43</v>
      </c>
      <c r="L33" s="8" t="s">
        <v>44</v>
      </c>
      <c r="M33" s="9" t="s">
        <v>45</v>
      </c>
      <c r="N33" s="9" t="s">
        <v>14</v>
      </c>
      <c r="O33" s="8" t="s">
        <v>226</v>
      </c>
    </row>
    <row r="34" spans="1:15" ht="52" x14ac:dyDescent="0.35">
      <c r="A34" s="8" t="s">
        <v>227</v>
      </c>
      <c r="B34" s="8" t="s">
        <v>228</v>
      </c>
      <c r="C34" s="8" t="s">
        <v>229</v>
      </c>
      <c r="D34" s="8" t="s">
        <v>230</v>
      </c>
      <c r="E34" s="8" t="s">
        <v>231</v>
      </c>
      <c r="F34" s="8" t="s">
        <v>223</v>
      </c>
      <c r="G34" s="8" t="s">
        <v>232</v>
      </c>
      <c r="H34" s="8" t="s">
        <v>233</v>
      </c>
      <c r="I34" s="8" t="s">
        <v>42</v>
      </c>
      <c r="J34" s="9" t="s">
        <v>16</v>
      </c>
      <c r="K34" s="8" t="s">
        <v>43</v>
      </c>
      <c r="L34" s="8" t="s">
        <v>44</v>
      </c>
      <c r="M34" s="9" t="s">
        <v>45</v>
      </c>
      <c r="N34" s="9" t="s">
        <v>15</v>
      </c>
      <c r="O34" s="8" t="s">
        <v>234</v>
      </c>
    </row>
    <row r="35" spans="1:15" ht="39" x14ac:dyDescent="0.35">
      <c r="A35" s="8" t="s">
        <v>235</v>
      </c>
      <c r="B35" s="8" t="s">
        <v>236</v>
      </c>
      <c r="C35" s="8" t="s">
        <v>237</v>
      </c>
      <c r="D35" s="8" t="s">
        <v>238</v>
      </c>
      <c r="E35" s="8" t="s">
        <v>239</v>
      </c>
      <c r="F35" s="8" t="s">
        <v>223</v>
      </c>
      <c r="G35" s="8" t="s">
        <v>240</v>
      </c>
      <c r="H35" s="8" t="s">
        <v>241</v>
      </c>
      <c r="I35" s="8" t="s">
        <v>42</v>
      </c>
      <c r="J35" s="9" t="s">
        <v>16</v>
      </c>
      <c r="K35" s="8" t="s">
        <v>43</v>
      </c>
      <c r="L35" s="8" t="s">
        <v>44</v>
      </c>
      <c r="M35" s="9" t="s">
        <v>55</v>
      </c>
      <c r="N35" s="9" t="s">
        <v>14</v>
      </c>
      <c r="O35" s="8" t="s">
        <v>242</v>
      </c>
    </row>
    <row r="36" spans="1:15" ht="39" x14ac:dyDescent="0.35">
      <c r="A36" s="8" t="s">
        <v>243</v>
      </c>
      <c r="B36" s="8" t="s">
        <v>244</v>
      </c>
      <c r="C36" s="8" t="s">
        <v>245</v>
      </c>
      <c r="D36" s="8" t="s">
        <v>246</v>
      </c>
      <c r="E36" s="8" t="s">
        <v>247</v>
      </c>
      <c r="F36" s="8" t="s">
        <v>223</v>
      </c>
      <c r="G36" s="8" t="s">
        <v>248</v>
      </c>
      <c r="H36" s="8" t="s">
        <v>249</v>
      </c>
      <c r="I36" s="8" t="s">
        <v>42</v>
      </c>
      <c r="J36" s="9" t="s">
        <v>16</v>
      </c>
      <c r="K36" s="8" t="s">
        <v>43</v>
      </c>
      <c r="L36" s="8" t="s">
        <v>44</v>
      </c>
      <c r="M36" s="9" t="s">
        <v>45</v>
      </c>
      <c r="N36" s="9" t="s">
        <v>15</v>
      </c>
      <c r="O36" s="8" t="s">
        <v>250</v>
      </c>
    </row>
    <row r="37" spans="1:15" ht="52" x14ac:dyDescent="0.35">
      <c r="A37" s="8" t="s">
        <v>251</v>
      </c>
      <c r="B37" s="8" t="s">
        <v>252</v>
      </c>
      <c r="C37" s="8" t="s">
        <v>253</v>
      </c>
      <c r="D37" s="8" t="s">
        <v>254</v>
      </c>
      <c r="E37" s="8" t="s">
        <v>255</v>
      </c>
      <c r="F37" s="8" t="s">
        <v>223</v>
      </c>
      <c r="G37" s="8" t="s">
        <v>53</v>
      </c>
      <c r="H37" s="8" t="s">
        <v>256</v>
      </c>
      <c r="I37" s="8" t="s">
        <v>42</v>
      </c>
      <c r="J37" s="9" t="s">
        <v>16</v>
      </c>
      <c r="K37" s="8" t="s">
        <v>43</v>
      </c>
      <c r="L37" s="8" t="s">
        <v>44</v>
      </c>
      <c r="M37" s="9" t="s">
        <v>55</v>
      </c>
      <c r="N37" s="9" t="s">
        <v>14</v>
      </c>
      <c r="O37" s="8" t="s">
        <v>257</v>
      </c>
    </row>
    <row r="38" spans="1:15" ht="39" x14ac:dyDescent="0.35">
      <c r="A38" s="8" t="s">
        <v>258</v>
      </c>
      <c r="B38" s="8" t="s">
        <v>259</v>
      </c>
      <c r="C38" s="8" t="s">
        <v>260</v>
      </c>
      <c r="D38" s="8" t="s">
        <v>261</v>
      </c>
      <c r="E38" s="8" t="s">
        <v>262</v>
      </c>
      <c r="F38" s="8" t="s">
        <v>263</v>
      </c>
      <c r="G38" s="8" t="s">
        <v>71</v>
      </c>
      <c r="H38" s="8" t="s">
        <v>264</v>
      </c>
      <c r="I38" s="8" t="s">
        <v>42</v>
      </c>
      <c r="J38" s="9" t="s">
        <v>16</v>
      </c>
      <c r="K38" s="8" t="s">
        <v>43</v>
      </c>
      <c r="L38" s="8" t="s">
        <v>44</v>
      </c>
      <c r="M38" s="9" t="s">
        <v>55</v>
      </c>
      <c r="N38" s="9" t="s">
        <v>15</v>
      </c>
      <c r="O38" s="8" t="s">
        <v>265</v>
      </c>
    </row>
    <row r="39" spans="1:15" ht="65" x14ac:dyDescent="0.35">
      <c r="A39" s="8" t="s">
        <v>266</v>
      </c>
      <c r="B39" s="8" t="s">
        <v>267</v>
      </c>
      <c r="C39" s="8" t="s">
        <v>268</v>
      </c>
      <c r="D39" s="8" t="s">
        <v>269</v>
      </c>
      <c r="E39" s="8" t="s">
        <v>270</v>
      </c>
      <c r="F39" s="8" t="s">
        <v>223</v>
      </c>
      <c r="G39" s="8" t="s">
        <v>271</v>
      </c>
      <c r="H39" s="8" t="s">
        <v>272</v>
      </c>
      <c r="I39" s="8" t="s">
        <v>42</v>
      </c>
      <c r="J39" s="9" t="s">
        <v>16</v>
      </c>
      <c r="K39" s="8" t="s">
        <v>43</v>
      </c>
      <c r="L39" s="8" t="s">
        <v>44</v>
      </c>
      <c r="M39" s="9" t="s">
        <v>55</v>
      </c>
      <c r="N39" s="9" t="s">
        <v>14</v>
      </c>
      <c r="O39" s="8" t="s">
        <v>273</v>
      </c>
    </row>
    <row r="40" spans="1:15" ht="52" x14ac:dyDescent="0.35">
      <c r="A40" s="8" t="s">
        <v>274</v>
      </c>
      <c r="B40" s="8" t="s">
        <v>275</v>
      </c>
      <c r="C40" s="8" t="s">
        <v>276</v>
      </c>
      <c r="D40" s="8" t="s">
        <v>277</v>
      </c>
      <c r="E40" s="8" t="s">
        <v>278</v>
      </c>
      <c r="F40" s="8" t="s">
        <v>223</v>
      </c>
      <c r="G40" s="8" t="s">
        <v>279</v>
      </c>
      <c r="H40" s="8" t="s">
        <v>280</v>
      </c>
      <c r="I40" s="8" t="s">
        <v>42</v>
      </c>
      <c r="J40" s="9" t="s">
        <v>16</v>
      </c>
      <c r="K40" s="8" t="s">
        <v>43</v>
      </c>
      <c r="L40" s="8" t="s">
        <v>44</v>
      </c>
      <c r="M40" s="9" t="s">
        <v>55</v>
      </c>
      <c r="N40" s="9" t="s">
        <v>15</v>
      </c>
      <c r="O40" s="8" t="s">
        <v>281</v>
      </c>
    </row>
  </sheetData>
  <mergeCells count="2">
    <mergeCell ref="A1:O1"/>
    <mergeCell ref="J2:O2"/>
  </mergeCells>
  <conditionalFormatting sqref="J11:J40">
    <cfRule type="expression" dxfId="4" priority="1">
      <formula>J11="Not Run"</formula>
    </cfRule>
    <cfRule type="expression" dxfId="3" priority="2">
      <formula>J11="Passed"</formula>
    </cfRule>
    <cfRule type="expression" dxfId="2" priority="3">
      <formula>J11="Failed"</formula>
    </cfRule>
    <cfRule type="expression" dxfId="1" priority="4">
      <formula>J11="Blocked"</formula>
    </cfRule>
  </conditionalFormatting>
  <conditionalFormatting sqref="M11:M40">
    <cfRule type="expression" dxfId="0" priority="5">
      <formula>M11="Critical"</formula>
    </cfRule>
  </conditionalFormatting>
  <dataValidations count="1">
    <dataValidation type="list" allowBlank="1" showInputMessage="1" showErrorMessage="1" sqref="J11:J40" xr:uid="{2469C617-A096-41CE-A9F3-4A266AAA149D}">
      <formula1>"Not Run,Passed,Failed,Blocked,Not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Diwakar</dc:creator>
  <cp:lastModifiedBy>Yogesh Diwakar</cp:lastModifiedBy>
  <dcterms:created xsi:type="dcterms:W3CDTF">2026-10-06T03:43:45Z</dcterms:created>
  <dcterms:modified xsi:type="dcterms:W3CDTF">2026-10-06T04:28:10Z</dcterms:modified>
</cp:coreProperties>
</file>